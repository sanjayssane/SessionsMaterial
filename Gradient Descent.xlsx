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Academy\ML(Python)\13. Neural Networks\Gradient Descent\"/>
    </mc:Choice>
  </mc:AlternateContent>
  <xr:revisionPtr revIDLastSave="0" documentId="13_ncr:1_{E303EB09-4840-4F3E-998C-95E7A8F617D7}" xr6:coauthVersionLast="47" xr6:coauthVersionMax="47" xr10:uidLastSave="{00000000-0000-0000-0000-000000000000}"/>
  <bookViews>
    <workbookView xWindow="-110" yWindow="-110" windowWidth="19420" windowHeight="10300" xr2:uid="{9898B13B-F51A-4072-8AEA-F7627155AC60}"/>
  </bookViews>
  <sheets>
    <sheet name="1" sheetId="1" r:id="rId1"/>
    <sheet name="2" sheetId="10" r:id="rId2"/>
    <sheet name="3" sheetId="11" r:id="rId3"/>
    <sheet name="4" sheetId="12" r:id="rId4"/>
    <sheet name="5" sheetId="13" r:id="rId5"/>
    <sheet name="6" sheetId="14" r:id="rId6"/>
    <sheet name="7" sheetId="15" r:id="rId7"/>
    <sheet name="8" sheetId="16" r:id="rId8"/>
    <sheet name="9" sheetId="17" r:id="rId9"/>
    <sheet name="10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J11" i="1"/>
  <c r="G11" i="1"/>
  <c r="G3" i="1"/>
  <c r="G12" i="1"/>
  <c r="E11" i="1"/>
  <c r="D9" i="1"/>
  <c r="D8" i="1"/>
  <c r="D7" i="1"/>
  <c r="D6" i="1"/>
  <c r="D5" i="1"/>
  <c r="D4" i="1"/>
  <c r="D3" i="1"/>
  <c r="B3" i="1"/>
  <c r="B5" i="1"/>
  <c r="E12" i="18"/>
  <c r="B9" i="18"/>
  <c r="B8" i="18"/>
  <c r="B7" i="18"/>
  <c r="B6" i="18"/>
  <c r="B5" i="18"/>
  <c r="B4" i="18"/>
  <c r="B3" i="18"/>
  <c r="E12" i="17"/>
  <c r="B9" i="17"/>
  <c r="B8" i="17"/>
  <c r="B7" i="17"/>
  <c r="B6" i="17"/>
  <c r="B5" i="17"/>
  <c r="B4" i="17"/>
  <c r="B3" i="17"/>
  <c r="E12" i="16"/>
  <c r="B9" i="16"/>
  <c r="B8" i="16"/>
  <c r="B7" i="16"/>
  <c r="B6" i="16"/>
  <c r="B5" i="16"/>
  <c r="B4" i="16"/>
  <c r="B3" i="16"/>
  <c r="E12" i="15"/>
  <c r="B9" i="15"/>
  <c r="B8" i="15"/>
  <c r="B7" i="15"/>
  <c r="B6" i="15"/>
  <c r="B5" i="15"/>
  <c r="B4" i="15"/>
  <c r="B3" i="15"/>
  <c r="E12" i="14"/>
  <c r="B9" i="14"/>
  <c r="B8" i="14"/>
  <c r="B7" i="14"/>
  <c r="B6" i="14"/>
  <c r="B5" i="14"/>
  <c r="B4" i="14"/>
  <c r="B3" i="14"/>
  <c r="E12" i="13"/>
  <c r="B9" i="13"/>
  <c r="B8" i="13"/>
  <c r="B7" i="13"/>
  <c r="B6" i="13"/>
  <c r="B5" i="13"/>
  <c r="B4" i="13"/>
  <c r="B3" i="13"/>
  <c r="E12" i="12"/>
  <c r="B9" i="12"/>
  <c r="B8" i="12"/>
  <c r="B7" i="12"/>
  <c r="B6" i="12"/>
  <c r="B5" i="12"/>
  <c r="B4" i="12"/>
  <c r="B3" i="12"/>
  <c r="E12" i="11"/>
  <c r="B9" i="11"/>
  <c r="B8" i="11"/>
  <c r="B7" i="11"/>
  <c r="B6" i="11"/>
  <c r="B5" i="11"/>
  <c r="B4" i="11"/>
  <c r="B3" i="11"/>
  <c r="E12" i="10"/>
  <c r="B9" i="10"/>
  <c r="B8" i="10"/>
  <c r="B7" i="10"/>
  <c r="B6" i="10"/>
  <c r="B5" i="10"/>
  <c r="B4" i="10"/>
  <c r="B3" i="10"/>
  <c r="B4" i="1"/>
  <c r="F9" i="1"/>
  <c r="G9" i="1" s="1"/>
  <c r="F8" i="1"/>
  <c r="G8" i="1" s="1"/>
  <c r="B6" i="1"/>
  <c r="B7" i="1"/>
  <c r="B8" i="1"/>
  <c r="B9" i="1"/>
  <c r="F4" i="1" l="1"/>
  <c r="G4" i="1" s="1"/>
  <c r="F7" i="1"/>
  <c r="G7" i="1" s="1"/>
  <c r="E3" i="1"/>
  <c r="F5" i="1"/>
  <c r="G5" i="1" s="1"/>
  <c r="F6" i="1"/>
  <c r="G6" i="1" s="1"/>
  <c r="F3" i="1"/>
  <c r="E9" i="1"/>
  <c r="E4" i="1"/>
  <c r="E8" i="1"/>
  <c r="E7" i="1"/>
  <c r="E6" i="1"/>
  <c r="E5" i="1"/>
  <c r="B11" i="10" l="1"/>
  <c r="B12" i="10"/>
  <c r="D5" i="10" l="1"/>
  <c r="F5" i="10"/>
  <c r="G5" i="10" s="1"/>
  <c r="E5" i="10"/>
  <c r="D4" i="10"/>
  <c r="D6" i="10"/>
  <c r="D9" i="10"/>
  <c r="D3" i="10"/>
  <c r="D7" i="10"/>
  <c r="D8" i="10"/>
  <c r="E7" i="10" l="1"/>
  <c r="F7" i="10"/>
  <c r="G7" i="10" s="1"/>
  <c r="E3" i="10"/>
  <c r="F3" i="10"/>
  <c r="F9" i="10"/>
  <c r="G9" i="10" s="1"/>
  <c r="E9" i="10"/>
  <c r="F8" i="10"/>
  <c r="G8" i="10" s="1"/>
  <c r="E8" i="10"/>
  <c r="F6" i="10"/>
  <c r="G6" i="10" s="1"/>
  <c r="E6" i="10"/>
  <c r="E4" i="10"/>
  <c r="F4" i="10"/>
  <c r="G4" i="10" s="1"/>
  <c r="E11" i="10" l="1"/>
  <c r="G3" i="10"/>
  <c r="G11" i="10" s="1"/>
  <c r="J11" i="10" s="1"/>
  <c r="B11" i="11" s="1"/>
  <c r="G12" i="10"/>
  <c r="J12" i="10" s="1"/>
  <c r="B12" i="11" s="1"/>
  <c r="D7" i="11" l="1"/>
  <c r="E7" i="11" s="1"/>
  <c r="D6" i="11"/>
  <c r="D4" i="11"/>
  <c r="D8" i="11"/>
  <c r="D3" i="11"/>
  <c r="D9" i="11"/>
  <c r="D5" i="11"/>
  <c r="F7" i="11" l="1"/>
  <c r="G7" i="11" s="1"/>
  <c r="F9" i="11"/>
  <c r="G9" i="11" s="1"/>
  <c r="E9" i="11"/>
  <c r="E5" i="11"/>
  <c r="F5" i="11"/>
  <c r="G5" i="11" s="1"/>
  <c r="F3" i="11"/>
  <c r="E3" i="11"/>
  <c r="E8" i="11"/>
  <c r="F8" i="11"/>
  <c r="G8" i="11" s="1"/>
  <c r="E4" i="11"/>
  <c r="F4" i="11"/>
  <c r="G4" i="11" s="1"/>
  <c r="F6" i="11"/>
  <c r="G6" i="11" s="1"/>
  <c r="E6" i="11"/>
  <c r="E11" i="11" l="1"/>
  <c r="G3" i="11"/>
  <c r="G11" i="11" s="1"/>
  <c r="J11" i="11" s="1"/>
  <c r="B11" i="12" s="1"/>
  <c r="G12" i="11"/>
  <c r="J12" i="11" s="1"/>
  <c r="B12" i="12" s="1"/>
  <c r="D9" i="12" l="1"/>
  <c r="D7" i="12"/>
  <c r="D5" i="12"/>
  <c r="D4" i="12"/>
  <c r="D6" i="12"/>
  <c r="D3" i="12"/>
  <c r="D8" i="12"/>
  <c r="F8" i="12" l="1"/>
  <c r="G8" i="12" s="1"/>
  <c r="E8" i="12"/>
  <c r="E3" i="12"/>
  <c r="F3" i="12"/>
  <c r="E6" i="12"/>
  <c r="F6" i="12"/>
  <c r="G6" i="12" s="1"/>
  <c r="F4" i="12"/>
  <c r="G4" i="12" s="1"/>
  <c r="E4" i="12"/>
  <c r="F5" i="12"/>
  <c r="G5" i="12" s="1"/>
  <c r="E5" i="12"/>
  <c r="F7" i="12"/>
  <c r="G7" i="12" s="1"/>
  <c r="E7" i="12"/>
  <c r="F9" i="12"/>
  <c r="G9" i="12" s="1"/>
  <c r="E9" i="12"/>
  <c r="G12" i="12" l="1"/>
  <c r="J12" i="12" s="1"/>
  <c r="B12" i="13" s="1"/>
  <c r="G3" i="12"/>
  <c r="G11" i="12" s="1"/>
  <c r="J11" i="12" s="1"/>
  <c r="B11" i="13" s="1"/>
  <c r="E11" i="12"/>
  <c r="D4" i="13" l="1"/>
  <c r="D9" i="13"/>
  <c r="D7" i="13"/>
  <c r="D5" i="13"/>
  <c r="D3" i="13"/>
  <c r="D8" i="13"/>
  <c r="D6" i="13"/>
  <c r="F6" i="13" l="1"/>
  <c r="G6" i="13" s="1"/>
  <c r="E6" i="13"/>
  <c r="F9" i="13"/>
  <c r="G9" i="13" s="1"/>
  <c r="E9" i="13"/>
  <c r="F8" i="13"/>
  <c r="G8" i="13" s="1"/>
  <c r="E8" i="13"/>
  <c r="E3" i="13"/>
  <c r="F3" i="13"/>
  <c r="F5" i="13"/>
  <c r="G5" i="13" s="1"/>
  <c r="E5" i="13"/>
  <c r="E7" i="13"/>
  <c r="F7" i="13"/>
  <c r="G7" i="13" s="1"/>
  <c r="E4" i="13"/>
  <c r="F4" i="13"/>
  <c r="G4" i="13" s="1"/>
  <c r="E11" i="13" l="1"/>
  <c r="G3" i="13"/>
  <c r="G11" i="13" s="1"/>
  <c r="J11" i="13" s="1"/>
  <c r="B11" i="14" s="1"/>
  <c r="G12" i="13"/>
  <c r="J12" i="13" s="1"/>
  <c r="B12" i="14" s="1"/>
  <c r="D4" i="14" s="1"/>
  <c r="F4" i="14" l="1"/>
  <c r="G4" i="14" s="1"/>
  <c r="E4" i="14"/>
  <c r="D9" i="14"/>
  <c r="D7" i="14"/>
  <c r="D6" i="14"/>
  <c r="D5" i="14"/>
  <c r="D3" i="14"/>
  <c r="D8" i="14"/>
  <c r="F6" i="14" l="1"/>
  <c r="G6" i="14" s="1"/>
  <c r="E6" i="14"/>
  <c r="F5" i="14"/>
  <c r="G5" i="14" s="1"/>
  <c r="E5" i="14"/>
  <c r="E8" i="14"/>
  <c r="F8" i="14"/>
  <c r="G8" i="14" s="1"/>
  <c r="E3" i="14"/>
  <c r="F3" i="14"/>
  <c r="F7" i="14"/>
  <c r="G7" i="14" s="1"/>
  <c r="E7" i="14"/>
  <c r="F9" i="14"/>
  <c r="G9" i="14" s="1"/>
  <c r="E9" i="14"/>
  <c r="G3" i="14" l="1"/>
  <c r="G11" i="14" s="1"/>
  <c r="J11" i="14" s="1"/>
  <c r="B11" i="15" s="1"/>
  <c r="G12" i="14"/>
  <c r="J12" i="14" s="1"/>
  <c r="B12" i="15" s="1"/>
  <c r="E11" i="14"/>
  <c r="D7" i="15" l="1"/>
  <c r="D4" i="15"/>
  <c r="D9" i="15"/>
  <c r="D5" i="15"/>
  <c r="D6" i="15"/>
  <c r="D8" i="15"/>
  <c r="D3" i="15"/>
  <c r="F9" i="15" l="1"/>
  <c r="G9" i="15" s="1"/>
  <c r="E9" i="15"/>
  <c r="F3" i="15"/>
  <c r="E3" i="15"/>
  <c r="F8" i="15"/>
  <c r="G8" i="15" s="1"/>
  <c r="E8" i="15"/>
  <c r="F6" i="15"/>
  <c r="G6" i="15" s="1"/>
  <c r="E6" i="15"/>
  <c r="E5" i="15"/>
  <c r="F5" i="15"/>
  <c r="G5" i="15" s="1"/>
  <c r="E4" i="15"/>
  <c r="F4" i="15"/>
  <c r="G4" i="15" s="1"/>
  <c r="E7" i="15"/>
  <c r="F7" i="15"/>
  <c r="G7" i="15" s="1"/>
  <c r="E11" i="15" l="1"/>
  <c r="G3" i="15"/>
  <c r="G11" i="15" s="1"/>
  <c r="J11" i="15" s="1"/>
  <c r="B11" i="16" s="1"/>
  <c r="G12" i="15"/>
  <c r="J12" i="15" s="1"/>
  <c r="B12" i="16" s="1"/>
  <c r="D9" i="16" l="1"/>
  <c r="D7" i="16"/>
  <c r="D5" i="16"/>
  <c r="D4" i="16"/>
  <c r="D3" i="16"/>
  <c r="D8" i="16"/>
  <c r="D6" i="16"/>
  <c r="E6" i="16" l="1"/>
  <c r="F6" i="16"/>
  <c r="G6" i="16" s="1"/>
  <c r="E3" i="16"/>
  <c r="F3" i="16"/>
  <c r="F5" i="16"/>
  <c r="G5" i="16" s="1"/>
  <c r="E5" i="16"/>
  <c r="E7" i="16"/>
  <c r="F7" i="16"/>
  <c r="G7" i="16" s="1"/>
  <c r="E8" i="16"/>
  <c r="F8" i="16"/>
  <c r="G8" i="16" s="1"/>
  <c r="E4" i="16"/>
  <c r="F4" i="16"/>
  <c r="G4" i="16" s="1"/>
  <c r="E9" i="16"/>
  <c r="F9" i="16"/>
  <c r="G9" i="16" s="1"/>
  <c r="G3" i="16" l="1"/>
  <c r="G11" i="16" s="1"/>
  <c r="J11" i="16" s="1"/>
  <c r="B11" i="17" s="1"/>
  <c r="G12" i="16"/>
  <c r="J12" i="16" s="1"/>
  <c r="B12" i="17" s="1"/>
  <c r="E11" i="16"/>
  <c r="D4" i="17" l="1"/>
  <c r="D9" i="17"/>
  <c r="D8" i="17"/>
  <c r="D7" i="17"/>
  <c r="D3" i="17"/>
  <c r="D5" i="17"/>
  <c r="D6" i="17"/>
  <c r="E4" i="17" l="1"/>
  <c r="F4" i="17"/>
  <c r="G4" i="17" s="1"/>
  <c r="E6" i="17"/>
  <c r="F6" i="17"/>
  <c r="G6" i="17" s="1"/>
  <c r="F5" i="17"/>
  <c r="G5" i="17" s="1"/>
  <c r="E5" i="17"/>
  <c r="F3" i="17"/>
  <c r="E3" i="17"/>
  <c r="F7" i="17"/>
  <c r="G7" i="17" s="1"/>
  <c r="E7" i="17"/>
  <c r="F8" i="17"/>
  <c r="G8" i="17" s="1"/>
  <c r="E8" i="17"/>
  <c r="F9" i="17"/>
  <c r="G9" i="17" s="1"/>
  <c r="E9" i="17"/>
  <c r="G3" i="17" l="1"/>
  <c r="G11" i="17" s="1"/>
  <c r="J11" i="17" s="1"/>
  <c r="B11" i="18" s="1"/>
  <c r="G12" i="17"/>
  <c r="J12" i="17" s="1"/>
  <c r="B12" i="18" s="1"/>
  <c r="E11" i="17"/>
  <c r="D3" i="18" l="1"/>
  <c r="D4" i="18"/>
  <c r="D9" i="18"/>
  <c r="D7" i="18"/>
  <c r="D8" i="18"/>
  <c r="D5" i="18"/>
  <c r="D6" i="18"/>
  <c r="F9" i="18" l="1"/>
  <c r="G9" i="18" s="1"/>
  <c r="E9" i="18"/>
  <c r="F6" i="18"/>
  <c r="G6" i="18" s="1"/>
  <c r="E6" i="18"/>
  <c r="E5" i="18"/>
  <c r="F5" i="18"/>
  <c r="G5" i="18" s="1"/>
  <c r="F8" i="18"/>
  <c r="G8" i="18" s="1"/>
  <c r="E8" i="18"/>
  <c r="E7" i="18"/>
  <c r="F7" i="18"/>
  <c r="G7" i="18" s="1"/>
  <c r="F4" i="18"/>
  <c r="G4" i="18" s="1"/>
  <c r="E4" i="18"/>
  <c r="F3" i="18"/>
  <c r="E3" i="18"/>
  <c r="E11" i="18" l="1"/>
  <c r="G3" i="18"/>
  <c r="G11" i="18" s="1"/>
  <c r="J11" i="18" s="1"/>
  <c r="G12" i="18"/>
  <c r="J12" i="18" s="1"/>
</calcChain>
</file>

<file path=xl/sharedStrings.xml><?xml version="1.0" encoding="utf-8"?>
<sst xmlns="http://schemas.openxmlformats.org/spreadsheetml/2006/main" count="140" uniqueCount="14">
  <si>
    <t>x</t>
  </si>
  <si>
    <t>y</t>
  </si>
  <si>
    <t>b</t>
  </si>
  <si>
    <t>w</t>
  </si>
  <si>
    <t>y_pred</t>
  </si>
  <si>
    <t>error</t>
  </si>
  <si>
    <t>Loss</t>
  </si>
  <si>
    <t>db</t>
  </si>
  <si>
    <t>dw</t>
  </si>
  <si>
    <t>error^2</t>
  </si>
  <si>
    <t>errr*x</t>
  </si>
  <si>
    <t>eta</t>
  </si>
  <si>
    <t>new b</t>
  </si>
  <si>
    <t>new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</si>
</sst>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BAA6-0DE9-44CA-BC88-A863DD50047A}">
  <dimension ref="A2:J12"/>
  <sheetViews>
    <sheetView tabSelected="1" zoomScale="160" zoomScaleNormal="160" workbookViewId="0">
      <selection activeCell="J4" sqref="J4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0.16</v>
      </c>
      <c r="E3">
        <f>(B3-D3)^2</f>
        <v>29.593599999999995</v>
      </c>
      <c r="F3">
        <f>B3-D3</f>
        <v>5.4399999999999995</v>
      </c>
      <c r="G3">
        <f>F3*A3</f>
        <v>1.0879999999999999</v>
      </c>
    </row>
    <row r="4" spans="1:10" x14ac:dyDescent="0.35">
      <c r="A4" s="1">
        <v>1.2</v>
      </c>
      <c r="B4" s="1">
        <f>3*A4+5</f>
        <v>8.6</v>
      </c>
      <c r="D4">
        <f>$B$11*A4+$B$12</f>
        <v>0.45999999999999996</v>
      </c>
      <c r="E4">
        <f t="shared" ref="E4:E9" si="0">(B4-D4)^2</f>
        <v>66.259600000000006</v>
      </c>
      <c r="F4">
        <f>B4-D4</f>
        <v>8.14</v>
      </c>
      <c r="G4">
        <f t="shared" ref="G4:G9" si="1">F4*A4</f>
        <v>9.7680000000000007</v>
      </c>
    </row>
    <row r="5" spans="1:10" x14ac:dyDescent="0.35">
      <c r="A5" s="1">
        <v>1</v>
      </c>
      <c r="B5" s="1">
        <f>3*A5+5</f>
        <v>8</v>
      </c>
      <c r="D5">
        <f>$B$11*A5+$B$12</f>
        <v>0.4</v>
      </c>
      <c r="E5">
        <f t="shared" si="0"/>
        <v>57.76</v>
      </c>
      <c r="F5">
        <f>B5-D5</f>
        <v>7.6</v>
      </c>
      <c r="G5">
        <f t="shared" si="1"/>
        <v>7.6</v>
      </c>
    </row>
    <row r="6" spans="1:10" x14ac:dyDescent="0.35">
      <c r="A6" s="1">
        <v>1.4</v>
      </c>
      <c r="B6" s="1">
        <f t="shared" ref="B6:B9" si="2">3*A6+5</f>
        <v>9.1999999999999993</v>
      </c>
      <c r="D6">
        <f>$B$11*A6+$B$12</f>
        <v>0.52</v>
      </c>
      <c r="E6">
        <f t="shared" si="0"/>
        <v>75.342399999999998</v>
      </c>
      <c r="F6">
        <f>B6-D6</f>
        <v>8.68</v>
      </c>
      <c r="G6">
        <f t="shared" si="1"/>
        <v>12.151999999999999</v>
      </c>
    </row>
    <row r="7" spans="1:10" x14ac:dyDescent="0.35">
      <c r="A7" s="1">
        <v>-1.5</v>
      </c>
      <c r="B7" s="1">
        <f t="shared" si="2"/>
        <v>0.5</v>
      </c>
      <c r="D7">
        <f>$B$11*A7+$B$12</f>
        <v>-0.35</v>
      </c>
      <c r="E7">
        <f t="shared" si="0"/>
        <v>0.72249999999999992</v>
      </c>
      <c r="F7">
        <f t="shared" ref="F7:F9" si="3">B7-D7</f>
        <v>0.85</v>
      </c>
      <c r="G7">
        <f t="shared" si="1"/>
        <v>-1.2749999999999999</v>
      </c>
    </row>
    <row r="8" spans="1:10" x14ac:dyDescent="0.35">
      <c r="A8" s="1">
        <v>0.5</v>
      </c>
      <c r="B8" s="1">
        <f t="shared" si="2"/>
        <v>6.5</v>
      </c>
      <c r="D8">
        <f>$B$11*A8+$B$12</f>
        <v>0.25</v>
      </c>
      <c r="E8">
        <f t="shared" si="0"/>
        <v>39.0625</v>
      </c>
      <c r="F8">
        <f t="shared" si="3"/>
        <v>6.25</v>
      </c>
      <c r="G8">
        <f t="shared" si="1"/>
        <v>3.125</v>
      </c>
    </row>
    <row r="9" spans="1:10" x14ac:dyDescent="0.35">
      <c r="A9" s="1">
        <v>-0.5</v>
      </c>
      <c r="B9" s="1">
        <f t="shared" si="2"/>
        <v>3.5</v>
      </c>
      <c r="D9">
        <f>$B$11*A9+$B$12</f>
        <v>-4.9999999999999989E-2</v>
      </c>
      <c r="E9">
        <f t="shared" si="0"/>
        <v>12.602499999999999</v>
      </c>
      <c r="F9">
        <f t="shared" si="3"/>
        <v>3.55</v>
      </c>
      <c r="G9">
        <f t="shared" si="1"/>
        <v>-1.7749999999999999</v>
      </c>
    </row>
    <row r="11" spans="1:10" x14ac:dyDescent="0.35">
      <c r="A11" t="s">
        <v>3</v>
      </c>
      <c r="B11">
        <v>0.3</v>
      </c>
      <c r="D11" t="s">
        <v>6</v>
      </c>
      <c r="E11">
        <f>AVERAGE(E3:E9)/2</f>
        <v>20.095935714285712</v>
      </c>
      <c r="F11" t="s">
        <v>8</v>
      </c>
      <c r="G11">
        <f>-AVERAGE(G3:G9)</f>
        <v>-4.383285714285714</v>
      </c>
      <c r="I11" t="s">
        <v>13</v>
      </c>
      <c r="J11">
        <f>B11-E12*G11</f>
        <v>1.1766571428571428</v>
      </c>
    </row>
    <row r="12" spans="1:10" x14ac:dyDescent="0.35">
      <c r="A12" t="s">
        <v>2</v>
      </c>
      <c r="B12">
        <v>0.1</v>
      </c>
      <c r="D12" t="s">
        <v>11</v>
      </c>
      <c r="E12">
        <v>0.2</v>
      </c>
      <c r="F12" t="s">
        <v>7</v>
      </c>
      <c r="G12">
        <f>-AVERAGE(F3:F9)</f>
        <v>-5.7871428571428565</v>
      </c>
      <c r="I12" t="s">
        <v>12</v>
      </c>
      <c r="J12">
        <f>B12-E12*G12</f>
        <v>1.2574285714285713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1165-7D9E-4B76-BBD8-4913E60A3A29}">
  <dimension ref="A2:J12"/>
  <sheetViews>
    <sheetView zoomScale="160" zoomScaleNormal="160" workbookViewId="0">
      <selection activeCell="J11" sqref="J11:J12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1.4927599999999999</v>
      </c>
      <c r="E3">
        <f>(B3-D3)^2</f>
        <v>16.869420417600001</v>
      </c>
      <c r="F3">
        <f>B3-D3</f>
        <v>4.10724</v>
      </c>
      <c r="G3">
        <f>F3*A3</f>
        <v>0.82144800000000007</v>
      </c>
    </row>
    <row r="4" spans="1:10" x14ac:dyDescent="0.35">
      <c r="A4" s="1">
        <v>1.2</v>
      </c>
      <c r="B4" s="1">
        <f>3*A4+5</f>
        <v>8.6</v>
      </c>
      <c r="D4">
        <f>$B$11*A4+$B$12</f>
        <v>2.6694171428571427</v>
      </c>
      <c r="E4">
        <f t="shared" ref="E4:E9" si="0">(B4-D4)^2</f>
        <v>35.171813025436741</v>
      </c>
      <c r="F4">
        <f>B4-D4</f>
        <v>5.9305828571428574</v>
      </c>
      <c r="G4">
        <f t="shared" ref="G4:G9" si="1">F4*A4</f>
        <v>7.1166994285714287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2.4340857142857142</v>
      </c>
      <c r="E5">
        <f t="shared" si="0"/>
        <v>30.979401835918363</v>
      </c>
      <c r="F5">
        <f>B5-D5</f>
        <v>5.5659142857142854</v>
      </c>
      <c r="G5">
        <f t="shared" si="1"/>
        <v>5.5659142857142854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2.9047485714285712</v>
      </c>
      <c r="E6">
        <f t="shared" si="0"/>
        <v>39.630190548930599</v>
      </c>
      <c r="F6">
        <f>B6-D6</f>
        <v>6.2952514285714276</v>
      </c>
      <c r="G6">
        <f t="shared" si="1"/>
        <v>8.8133519999999983</v>
      </c>
    </row>
    <row r="7" spans="1:10" x14ac:dyDescent="0.35">
      <c r="A7" s="1">
        <v>-1.5</v>
      </c>
      <c r="B7" s="1">
        <f t="shared" si="3"/>
        <v>0.5</v>
      </c>
      <c r="D7">
        <f t="shared" si="2"/>
        <v>-0.50755714285714304</v>
      </c>
      <c r="E7">
        <f t="shared" si="0"/>
        <v>1.0151713961224493</v>
      </c>
      <c r="F7">
        <f t="shared" ref="F7:F9" si="4">B7-D7</f>
        <v>1.007557142857143</v>
      </c>
      <c r="G7">
        <f t="shared" si="1"/>
        <v>-1.5113357142857144</v>
      </c>
    </row>
    <row r="8" spans="1:10" x14ac:dyDescent="0.35">
      <c r="A8" s="1">
        <v>0.5</v>
      </c>
      <c r="B8" s="1">
        <f t="shared" si="3"/>
        <v>6.5</v>
      </c>
      <c r="D8">
        <f t="shared" si="2"/>
        <v>1.8457571428571429</v>
      </c>
      <c r="E8">
        <f t="shared" si="0"/>
        <v>21.661976573265306</v>
      </c>
      <c r="F8">
        <f t="shared" si="4"/>
        <v>4.6542428571428571</v>
      </c>
      <c r="G8">
        <f t="shared" si="1"/>
        <v>2.3271214285714286</v>
      </c>
    </row>
    <row r="9" spans="1:10" x14ac:dyDescent="0.35">
      <c r="A9" s="1">
        <v>-0.5</v>
      </c>
      <c r="B9" s="1">
        <f t="shared" si="3"/>
        <v>3.5</v>
      </c>
      <c r="D9">
        <f>$B$11*A9+$B$12</f>
        <v>0.66909999999999992</v>
      </c>
      <c r="E9">
        <f t="shared" si="0"/>
        <v>8.0139948100000016</v>
      </c>
      <c r="F9">
        <f t="shared" si="4"/>
        <v>2.8309000000000002</v>
      </c>
      <c r="G9">
        <f t="shared" si="1"/>
        <v>-1.4154500000000001</v>
      </c>
    </row>
    <row r="11" spans="1:10" x14ac:dyDescent="0.35">
      <c r="A11" t="s">
        <v>3</v>
      </c>
      <c r="B11">
        <f>'1'!J11</f>
        <v>1.1766571428571428</v>
      </c>
      <c r="D11" t="s">
        <v>6</v>
      </c>
      <c r="E11">
        <f>AVERAGE(E3:E9)/2</f>
        <v>10.952997757662391</v>
      </c>
      <c r="F11" t="s">
        <v>8</v>
      </c>
      <c r="G11">
        <f>-AVERAGE(G3:G9)</f>
        <v>-3.1025356326530611</v>
      </c>
      <c r="I11" t="s">
        <v>13</v>
      </c>
      <c r="J11">
        <f>B11-E12*G11</f>
        <v>1.7971642693877552</v>
      </c>
    </row>
    <row r="12" spans="1:10" x14ac:dyDescent="0.35">
      <c r="A12" t="s">
        <v>2</v>
      </c>
      <c r="B12">
        <f>'1'!J12</f>
        <v>1.2574285714285713</v>
      </c>
      <c r="D12" t="s">
        <v>11</v>
      </c>
      <c r="E12">
        <f>'1'!E12</f>
        <v>0.2</v>
      </c>
      <c r="F12" t="s">
        <v>7</v>
      </c>
      <c r="G12">
        <f>-AVERAGE(F3:F9)</f>
        <v>-4.3416697959183663</v>
      </c>
      <c r="I12" t="s">
        <v>12</v>
      </c>
      <c r="J12">
        <f>B12-E12*G12</f>
        <v>2.1257625306122447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EB6F-5B42-4A91-986F-2758C13242E7}">
  <dimension ref="A2:J12"/>
  <sheetViews>
    <sheetView zoomScale="160" zoomScaleNormal="160" workbookViewId="0">
      <selection activeCell="B11" sqref="B11:B12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2.4851953844897956</v>
      </c>
      <c r="E3">
        <f>(B3-D3)^2</f>
        <v>9.7020077928036699</v>
      </c>
      <c r="F3">
        <f>B3-D3</f>
        <v>3.114804615510204</v>
      </c>
      <c r="G3">
        <f>F3*A3</f>
        <v>0.62296092310204088</v>
      </c>
    </row>
    <row r="4" spans="1:10" x14ac:dyDescent="0.35">
      <c r="A4" s="1">
        <v>1.2</v>
      </c>
      <c r="B4" s="1">
        <f>3*A4+5</f>
        <v>8.6</v>
      </c>
      <c r="D4">
        <f>$B$11*A4+$B$12</f>
        <v>4.2823596538775508</v>
      </c>
      <c r="E4">
        <f t="shared" ref="E4:E9" si="0">(B4-D4)^2</f>
        <v>18.642018158464381</v>
      </c>
      <c r="F4">
        <f>B4-D4</f>
        <v>4.3176403461224488</v>
      </c>
      <c r="G4">
        <f t="shared" ref="G4:G9" si="1">F4*A4</f>
        <v>5.1811684153469386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3.9229267999999999</v>
      </c>
      <c r="E5">
        <f t="shared" si="0"/>
        <v>16.622525878158239</v>
      </c>
      <c r="F5">
        <f>B5-D5</f>
        <v>4.0770732000000001</v>
      </c>
      <c r="G5">
        <f t="shared" si="1"/>
        <v>4.0770732000000001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4.6417925077551017</v>
      </c>
      <c r="E6">
        <f t="shared" si="0"/>
        <v>20.777255542357519</v>
      </c>
      <c r="F6">
        <f>B6-D6</f>
        <v>4.5582074922448976</v>
      </c>
      <c r="G6">
        <f t="shared" si="1"/>
        <v>6.3814904891428563</v>
      </c>
    </row>
    <row r="7" spans="1:10" x14ac:dyDescent="0.35">
      <c r="A7" s="1">
        <v>-1.5</v>
      </c>
      <c r="B7" s="1">
        <f t="shared" si="3"/>
        <v>0.5</v>
      </c>
      <c r="D7">
        <f t="shared" si="2"/>
        <v>-0.56998387346938806</v>
      </c>
      <c r="E7">
        <f t="shared" si="0"/>
        <v>1.1448654894845554</v>
      </c>
      <c r="F7">
        <f t="shared" ref="F7:F9" si="4">B7-D7</f>
        <v>1.0699838734693881</v>
      </c>
      <c r="G7">
        <f t="shared" si="1"/>
        <v>-1.6049758102040821</v>
      </c>
    </row>
    <row r="8" spans="1:10" x14ac:dyDescent="0.35">
      <c r="A8" s="1">
        <v>0.5</v>
      </c>
      <c r="B8" s="1">
        <f t="shared" si="3"/>
        <v>6.5</v>
      </c>
      <c r="D8">
        <f t="shared" si="2"/>
        <v>3.0243446653061223</v>
      </c>
      <c r="E8">
        <f t="shared" si="0"/>
        <v>12.08018000558601</v>
      </c>
      <c r="F8">
        <f t="shared" si="4"/>
        <v>3.4756553346938777</v>
      </c>
      <c r="G8">
        <f t="shared" si="1"/>
        <v>1.7378276673469388</v>
      </c>
    </row>
    <row r="9" spans="1:10" x14ac:dyDescent="0.35">
      <c r="A9" s="1">
        <v>-0.5</v>
      </c>
      <c r="B9" s="1">
        <f t="shared" si="3"/>
        <v>3.5</v>
      </c>
      <c r="D9">
        <f>$B$11*A9+$B$12</f>
        <v>1.2271803959183671</v>
      </c>
      <c r="E9">
        <f t="shared" si="0"/>
        <v>5.1657089526977904</v>
      </c>
      <c r="F9">
        <f t="shared" si="4"/>
        <v>2.2728196040816329</v>
      </c>
      <c r="G9">
        <f t="shared" si="1"/>
        <v>-1.1364098020408164</v>
      </c>
    </row>
    <row r="11" spans="1:10" x14ac:dyDescent="0.35">
      <c r="A11" t="s">
        <v>3</v>
      </c>
      <c r="B11">
        <f>'2'!J11</f>
        <v>1.7971642693877552</v>
      </c>
      <c r="D11" t="s">
        <v>6</v>
      </c>
      <c r="E11">
        <f>AVERAGE(E3:E9)/2</f>
        <v>6.009611558539441</v>
      </c>
      <c r="F11" t="s">
        <v>8</v>
      </c>
      <c r="G11">
        <f>-AVERAGE(G3:G9)</f>
        <v>-2.1798764403848394</v>
      </c>
      <c r="I11" t="s">
        <v>13</v>
      </c>
      <c r="J11">
        <f>B11-E12*G11</f>
        <v>2.2331395574647233</v>
      </c>
    </row>
    <row r="12" spans="1:10" x14ac:dyDescent="0.35">
      <c r="A12" t="s">
        <v>2</v>
      </c>
      <c r="B12">
        <f>'2'!J12</f>
        <v>2.1257625306122447</v>
      </c>
      <c r="D12" t="s">
        <v>11</v>
      </c>
      <c r="E12">
        <f>'1'!E12</f>
        <v>0.2</v>
      </c>
      <c r="F12" t="s">
        <v>7</v>
      </c>
      <c r="G12">
        <f>-AVERAGE(F3:F9)</f>
        <v>-3.2694549237317778</v>
      </c>
      <c r="I12" t="s">
        <v>12</v>
      </c>
      <c r="J12">
        <f>B12-E12*G12</f>
        <v>2.7796535153586004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9F9E-D8B3-4B25-803D-02AABFDBEC79}">
  <dimension ref="A2:J12"/>
  <sheetViews>
    <sheetView zoomScale="160" zoomScaleNormal="160" workbookViewId="0">
      <selection activeCell="E11" sqref="E11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3.226281426851545</v>
      </c>
      <c r="E3">
        <f>(B3-D3)^2</f>
        <v>5.6345398645099358</v>
      </c>
      <c r="F3">
        <f>B3-D3</f>
        <v>2.3737185731484547</v>
      </c>
      <c r="G3">
        <f>F3*A3</f>
        <v>0.47474371462969095</v>
      </c>
    </row>
    <row r="4" spans="1:10" x14ac:dyDescent="0.35">
      <c r="A4" s="1">
        <v>1.2</v>
      </c>
      <c r="B4" s="1">
        <f>3*A4+5</f>
        <v>8.6</v>
      </c>
      <c r="D4">
        <f>$B$11*A4+$B$12</f>
        <v>5.4594209843162682</v>
      </c>
      <c r="E4">
        <f t="shared" ref="E4:E9" si="0">(B4-D4)^2</f>
        <v>9.863236553752996</v>
      </c>
      <c r="F4">
        <f>B4-D4</f>
        <v>3.1405790156837314</v>
      </c>
      <c r="G4">
        <f t="shared" ref="G4:G9" si="1">F4*A4</f>
        <v>3.7686948188204776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5.0127930728233236</v>
      </c>
      <c r="E5">
        <f t="shared" si="0"/>
        <v>8.9234052257723206</v>
      </c>
      <c r="F5">
        <f>B5-D5</f>
        <v>2.9872069271766764</v>
      </c>
      <c r="G5">
        <f t="shared" si="1"/>
        <v>2.9872069271766764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5.9060488958092128</v>
      </c>
      <c r="E6">
        <f t="shared" si="0"/>
        <v>10.850113876799702</v>
      </c>
      <c r="F6">
        <f>B6-D6</f>
        <v>3.2939511041907865</v>
      </c>
      <c r="G6">
        <f t="shared" si="1"/>
        <v>4.6115315458671011</v>
      </c>
    </row>
    <row r="7" spans="1:10" x14ac:dyDescent="0.35">
      <c r="A7" s="1">
        <v>-1.5</v>
      </c>
      <c r="B7" s="1">
        <f t="shared" si="3"/>
        <v>0.5</v>
      </c>
      <c r="D7">
        <f t="shared" si="2"/>
        <v>-0.57005582083848472</v>
      </c>
      <c r="E7">
        <f t="shared" si="0"/>
        <v>1.1450194597103234</v>
      </c>
      <c r="F7">
        <f t="shared" ref="F7:F9" si="4">B7-D7</f>
        <v>1.0700558208384847</v>
      </c>
      <c r="G7">
        <f t="shared" si="1"/>
        <v>-1.6050837312577271</v>
      </c>
    </row>
    <row r="8" spans="1:10" x14ac:dyDescent="0.35">
      <c r="A8" s="1">
        <v>0.5</v>
      </c>
      <c r="B8" s="1">
        <f t="shared" si="3"/>
        <v>6.5</v>
      </c>
      <c r="D8">
        <f t="shared" si="2"/>
        <v>3.8962232940909622</v>
      </c>
      <c r="E8">
        <f t="shared" si="0"/>
        <v>6.7796531342345201</v>
      </c>
      <c r="F8">
        <f t="shared" si="4"/>
        <v>2.6037767059090378</v>
      </c>
      <c r="G8">
        <f t="shared" si="1"/>
        <v>1.3018883529545189</v>
      </c>
    </row>
    <row r="9" spans="1:10" x14ac:dyDescent="0.35">
      <c r="A9" s="1">
        <v>-0.5</v>
      </c>
      <c r="B9" s="1">
        <f t="shared" si="3"/>
        <v>3.5</v>
      </c>
      <c r="D9">
        <f>$B$11*A9+$B$12</f>
        <v>1.6630837366262388</v>
      </c>
      <c r="E9">
        <f t="shared" si="0"/>
        <v>3.3742613586470211</v>
      </c>
      <c r="F9">
        <f t="shared" si="4"/>
        <v>1.8369162633737612</v>
      </c>
      <c r="G9">
        <f t="shared" si="1"/>
        <v>-0.91845813168688062</v>
      </c>
    </row>
    <row r="11" spans="1:10" x14ac:dyDescent="0.35">
      <c r="A11" t="s">
        <v>3</v>
      </c>
      <c r="B11">
        <f>'3'!J11</f>
        <v>2.2331395574647233</v>
      </c>
      <c r="D11" t="s">
        <v>6</v>
      </c>
      <c r="E11">
        <f>AVERAGE(E3:E9)/2</f>
        <v>3.32644496238763</v>
      </c>
      <c r="F11" t="s">
        <v>8</v>
      </c>
      <c r="G11">
        <f>-AVERAGE(G3:G9)</f>
        <v>-1.517217642357694</v>
      </c>
      <c r="I11" t="s">
        <v>13</v>
      </c>
      <c r="J11">
        <f>B11-E12*G11</f>
        <v>2.5365830859362619</v>
      </c>
    </row>
    <row r="12" spans="1:10" x14ac:dyDescent="0.35">
      <c r="A12" t="s">
        <v>2</v>
      </c>
      <c r="B12">
        <f>'3'!J12</f>
        <v>2.7796535153586004</v>
      </c>
      <c r="D12" t="s">
        <v>11</v>
      </c>
      <c r="E12">
        <f>'1'!E12</f>
        <v>0.2</v>
      </c>
      <c r="F12" t="s">
        <v>7</v>
      </c>
      <c r="G12">
        <f>-AVERAGE(F3:F9)</f>
        <v>-2.472314915760133</v>
      </c>
      <c r="I12" t="s">
        <v>12</v>
      </c>
      <c r="J12">
        <f>B12-E12*G12</f>
        <v>3.2741164985106268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AB60-933C-4ED8-BA59-F2D22CEA5539}">
  <dimension ref="A2:J12"/>
  <sheetViews>
    <sheetView zoomScale="160" zoomScaleNormal="160" workbookViewId="0">
      <selection activeCell="E13" sqref="E13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3.7814331156978791</v>
      </c>
      <c r="E3">
        <f>(B3-D3)^2</f>
        <v>3.3071855126803222</v>
      </c>
      <c r="F3">
        <f>B3-D3</f>
        <v>1.8185668843021205</v>
      </c>
      <c r="G3">
        <f>F3*A3</f>
        <v>0.36371337686042415</v>
      </c>
    </row>
    <row r="4" spans="1:10" x14ac:dyDescent="0.35">
      <c r="A4" s="1">
        <v>1.2</v>
      </c>
      <c r="B4" s="1">
        <f>3*A4+5</f>
        <v>8.6</v>
      </c>
      <c r="D4">
        <f>$B$11*A4+$B$12</f>
        <v>6.3180162016341406</v>
      </c>
      <c r="E4">
        <f t="shared" ref="E4:E9" si="0">(B4-D4)^2</f>
        <v>5.2074500560042738</v>
      </c>
      <c r="F4">
        <f>B4-D4</f>
        <v>2.2819837983658591</v>
      </c>
      <c r="G4">
        <f t="shared" ref="G4:G9" si="1">F4*A4</f>
        <v>2.7383805580390308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5.8106995844468887</v>
      </c>
      <c r="E5">
        <f t="shared" si="0"/>
        <v>4.7930363095410256</v>
      </c>
      <c r="F5">
        <f>B5-D5</f>
        <v>2.1893004155531113</v>
      </c>
      <c r="G5">
        <f t="shared" si="1"/>
        <v>2.1893004155531113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6.8253328188213933</v>
      </c>
      <c r="E6">
        <f t="shared" si="0"/>
        <v>5.6390442213667464</v>
      </c>
      <c r="F6">
        <f>B6-D6</f>
        <v>2.374667181178606</v>
      </c>
      <c r="G6">
        <f t="shared" si="1"/>
        <v>3.3245340536500483</v>
      </c>
    </row>
    <row r="7" spans="1:10" x14ac:dyDescent="0.35">
      <c r="A7" s="1">
        <v>-1.5</v>
      </c>
      <c r="B7" s="1">
        <f t="shared" si="3"/>
        <v>0.5</v>
      </c>
      <c r="D7">
        <f t="shared" si="2"/>
        <v>-0.53075813039376607</v>
      </c>
      <c r="E7">
        <f t="shared" si="0"/>
        <v>1.0624623233728521</v>
      </c>
      <c r="F7">
        <f t="shared" ref="F7:F9" si="4">B7-D7</f>
        <v>1.0307581303937661</v>
      </c>
      <c r="G7">
        <f t="shared" si="1"/>
        <v>-1.5461371955906491</v>
      </c>
    </row>
    <row r="8" spans="1:10" x14ac:dyDescent="0.35">
      <c r="A8" s="1">
        <v>0.5</v>
      </c>
      <c r="B8" s="1">
        <f t="shared" si="3"/>
        <v>6.5</v>
      </c>
      <c r="D8">
        <f t="shared" si="2"/>
        <v>4.5424080414787582</v>
      </c>
      <c r="E8">
        <f t="shared" si="0"/>
        <v>3.8321662760670314</v>
      </c>
      <c r="F8">
        <f t="shared" si="4"/>
        <v>1.9575919585212418</v>
      </c>
      <c r="G8">
        <f t="shared" si="1"/>
        <v>0.9787959792606209</v>
      </c>
    </row>
    <row r="9" spans="1:10" x14ac:dyDescent="0.35">
      <c r="A9" s="1">
        <v>-0.5</v>
      </c>
      <c r="B9" s="1">
        <f t="shared" si="3"/>
        <v>3.5</v>
      </c>
      <c r="D9">
        <f>$B$11*A9+$B$12</f>
        <v>2.0058249555424958</v>
      </c>
      <c r="E9">
        <f t="shared" si="0"/>
        <v>2.2325590634795844</v>
      </c>
      <c r="F9">
        <f t="shared" si="4"/>
        <v>1.4941750444575042</v>
      </c>
      <c r="G9">
        <f t="shared" si="1"/>
        <v>-0.74708752222875208</v>
      </c>
    </row>
    <row r="11" spans="1:10" x14ac:dyDescent="0.35">
      <c r="A11" t="s">
        <v>3</v>
      </c>
      <c r="B11">
        <f>'4'!J11</f>
        <v>2.5365830859362619</v>
      </c>
      <c r="D11" t="s">
        <v>6</v>
      </c>
      <c r="E11">
        <f>AVERAGE(E3:E9)/2</f>
        <v>1.862421697322274</v>
      </c>
      <c r="F11" t="s">
        <v>8</v>
      </c>
      <c r="G11">
        <f>-AVERAGE(G3:G9)</f>
        <v>-1.0430713807919763</v>
      </c>
      <c r="I11" t="s">
        <v>13</v>
      </c>
      <c r="J11">
        <f>B11-E12*G11</f>
        <v>2.745197362094657</v>
      </c>
    </row>
    <row r="12" spans="1:10" x14ac:dyDescent="0.35">
      <c r="A12" t="s">
        <v>2</v>
      </c>
      <c r="B12">
        <f>'4'!J12</f>
        <v>3.2741164985106268</v>
      </c>
      <c r="D12" t="s">
        <v>11</v>
      </c>
      <c r="E12">
        <f>'1'!E12</f>
        <v>0.2</v>
      </c>
      <c r="F12" t="s">
        <v>7</v>
      </c>
      <c r="G12">
        <f>-AVERAGE(F3:F9)</f>
        <v>-1.8781490589674585</v>
      </c>
      <c r="I12" t="s">
        <v>12</v>
      </c>
      <c r="J12">
        <f>B12-E12*G12</f>
        <v>3.6497463103041188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873D-B047-4CC4-923E-D1F0F739FE6D}">
  <dimension ref="A2:J12"/>
  <sheetViews>
    <sheetView zoomScale="160" zoomScaleNormal="160" workbookViewId="0">
      <selection activeCell="B13" sqref="B13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4.1987857827230499</v>
      </c>
      <c r="E3">
        <f>(B3-D3)^2</f>
        <v>1.9634012826990548</v>
      </c>
      <c r="F3">
        <f>B3-D3</f>
        <v>1.4012142172769497</v>
      </c>
      <c r="G3">
        <f>F3*A3</f>
        <v>0.28024284345538997</v>
      </c>
    </row>
    <row r="4" spans="1:10" x14ac:dyDescent="0.35">
      <c r="A4" s="1">
        <v>1.2</v>
      </c>
      <c r="B4" s="1">
        <f>3*A4+5</f>
        <v>8.6</v>
      </c>
      <c r="D4">
        <f>$B$11*A4+$B$12</f>
        <v>6.9439831448177074</v>
      </c>
      <c r="E4">
        <f t="shared" ref="E4:E9" si="0">(B4-D4)^2</f>
        <v>2.7423918246478491</v>
      </c>
      <c r="F4">
        <f>B4-D4</f>
        <v>1.6560168551822922</v>
      </c>
      <c r="G4">
        <f t="shared" ref="G4:G9" si="1">F4*A4</f>
        <v>1.9872202262187506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6.3949436723987763</v>
      </c>
      <c r="E5">
        <f t="shared" si="0"/>
        <v>2.5762058147727269</v>
      </c>
      <c r="F5">
        <f>B5-D5</f>
        <v>1.6050563276012237</v>
      </c>
      <c r="G5">
        <f t="shared" si="1"/>
        <v>1.6050563276012237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7.4930226172366385</v>
      </c>
      <c r="E6">
        <f t="shared" si="0"/>
        <v>2.9137717852656531</v>
      </c>
      <c r="F6">
        <f>B6-D6</f>
        <v>1.7069773827633608</v>
      </c>
      <c r="G6">
        <f t="shared" si="1"/>
        <v>2.389768335868705</v>
      </c>
    </row>
    <row r="7" spans="1:10" x14ac:dyDescent="0.35">
      <c r="A7" s="1">
        <v>-1.5</v>
      </c>
      <c r="B7" s="1">
        <f t="shared" si="3"/>
        <v>0.5</v>
      </c>
      <c r="D7">
        <f t="shared" si="2"/>
        <v>-0.46804973283786655</v>
      </c>
      <c r="E7">
        <f t="shared" si="0"/>
        <v>0.93712028524746482</v>
      </c>
      <c r="F7">
        <f t="shared" ref="F7:F9" si="4">B7-D7</f>
        <v>0.96804973283786655</v>
      </c>
      <c r="G7">
        <f t="shared" si="1"/>
        <v>-1.4520745992567998</v>
      </c>
    </row>
    <row r="8" spans="1:10" x14ac:dyDescent="0.35">
      <c r="A8" s="1">
        <v>0.5</v>
      </c>
      <c r="B8" s="1">
        <f t="shared" si="3"/>
        <v>6.5</v>
      </c>
      <c r="D8">
        <f t="shared" si="2"/>
        <v>5.0223449913514475</v>
      </c>
      <c r="E8">
        <f t="shared" si="0"/>
        <v>2.1834643245841536</v>
      </c>
      <c r="F8">
        <f t="shared" si="4"/>
        <v>1.4776550086485525</v>
      </c>
      <c r="G8">
        <f t="shared" si="1"/>
        <v>0.73882750432427624</v>
      </c>
    </row>
    <row r="9" spans="1:10" x14ac:dyDescent="0.35">
      <c r="A9" s="1">
        <v>-0.5</v>
      </c>
      <c r="B9" s="1">
        <f t="shared" si="3"/>
        <v>3.5</v>
      </c>
      <c r="D9">
        <f>$B$11*A9+$B$12</f>
        <v>2.27714762925679</v>
      </c>
      <c r="E9">
        <f t="shared" si="0"/>
        <v>1.495367920632289</v>
      </c>
      <c r="F9">
        <f t="shared" si="4"/>
        <v>1.22285237074321</v>
      </c>
      <c r="G9">
        <f t="shared" si="1"/>
        <v>-0.61142618537160498</v>
      </c>
    </row>
    <row r="11" spans="1:10" x14ac:dyDescent="0.35">
      <c r="A11" t="s">
        <v>3</v>
      </c>
      <c r="B11">
        <f>'5'!J11</f>
        <v>2.745197362094657</v>
      </c>
      <c r="D11" t="s">
        <v>6</v>
      </c>
      <c r="E11">
        <f>AVERAGE(E3:E9)/2</f>
        <v>1.0579802312749422</v>
      </c>
      <c r="F11" t="s">
        <v>8</v>
      </c>
      <c r="G11">
        <f>-AVERAGE(G3:G9)</f>
        <v>-0.70537349326284848</v>
      </c>
      <c r="I11" t="s">
        <v>13</v>
      </c>
      <c r="J11">
        <f>B11-E12*G11</f>
        <v>2.8862720607472268</v>
      </c>
    </row>
    <row r="12" spans="1:10" x14ac:dyDescent="0.35">
      <c r="A12" t="s">
        <v>2</v>
      </c>
      <c r="B12">
        <f>'5'!J12</f>
        <v>3.6497463103041188</v>
      </c>
      <c r="D12" t="s">
        <v>11</v>
      </c>
      <c r="E12">
        <f>'1'!E12</f>
        <v>0.2</v>
      </c>
      <c r="F12" t="s">
        <v>7</v>
      </c>
      <c r="G12">
        <f>-AVERAGE(F3:F9)</f>
        <v>-1.4339745564362081</v>
      </c>
      <c r="I12" t="s">
        <v>12</v>
      </c>
      <c r="J12">
        <f>B12-E12*G12</f>
        <v>3.9365412215913604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8114-57B4-4CFD-B6A5-16F602FAB79B}">
  <dimension ref="A2:J12"/>
  <sheetViews>
    <sheetView zoomScale="160" zoomScaleNormal="160" workbookViewId="0">
      <selection activeCell="J11" sqref="J11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4.5137956337408056</v>
      </c>
      <c r="E3">
        <f>(B3-D3)^2</f>
        <v>1.1798399252805374</v>
      </c>
      <c r="F3">
        <f>B3-D3</f>
        <v>1.086204366259194</v>
      </c>
      <c r="G3">
        <f>F3*A3</f>
        <v>0.21724087325183883</v>
      </c>
    </row>
    <row r="4" spans="1:10" x14ac:dyDescent="0.35">
      <c r="A4" s="1">
        <v>1.2</v>
      </c>
      <c r="B4" s="1">
        <f>3*A4+5</f>
        <v>8.6</v>
      </c>
      <c r="D4">
        <f>$B$11*A4+$B$12</f>
        <v>7.4000676944880324</v>
      </c>
      <c r="E4">
        <f t="shared" ref="E4:E9" si="0">(B4-D4)^2</f>
        <v>1.4398375378112651</v>
      </c>
      <c r="F4">
        <f>B4-D4</f>
        <v>1.1999323055119673</v>
      </c>
      <c r="G4">
        <f t="shared" ref="G4:G9" si="1">F4*A4</f>
        <v>1.4399187666143607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6.8228132823385872</v>
      </c>
      <c r="E5">
        <f t="shared" si="0"/>
        <v>1.3857685682384508</v>
      </c>
      <c r="F5">
        <f>B5-D5</f>
        <v>1.1771867176614128</v>
      </c>
      <c r="G5">
        <f t="shared" si="1"/>
        <v>1.1771867176614128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7.9773221066374775</v>
      </c>
      <c r="E6">
        <f t="shared" si="0"/>
        <v>1.4949412309174142</v>
      </c>
      <c r="F6">
        <f>B6-D6</f>
        <v>1.2226778933625218</v>
      </c>
      <c r="G6">
        <f t="shared" si="1"/>
        <v>1.7117490507075304</v>
      </c>
    </row>
    <row r="7" spans="1:10" x14ac:dyDescent="0.35">
      <c r="A7" s="1">
        <v>-1.5</v>
      </c>
      <c r="B7" s="1">
        <f t="shared" si="3"/>
        <v>0.5</v>
      </c>
      <c r="D7">
        <f t="shared" si="2"/>
        <v>-0.39286686952947925</v>
      </c>
      <c r="E7">
        <f t="shared" si="0"/>
        <v>0.79721124670337207</v>
      </c>
      <c r="F7">
        <f t="shared" ref="F7:F9" si="4">B7-D7</f>
        <v>0.89286686952947925</v>
      </c>
      <c r="G7">
        <f t="shared" si="1"/>
        <v>-1.3393003042942189</v>
      </c>
    </row>
    <row r="8" spans="1:10" x14ac:dyDescent="0.35">
      <c r="A8" s="1">
        <v>0.5</v>
      </c>
      <c r="B8" s="1">
        <f t="shared" si="3"/>
        <v>6.5</v>
      </c>
      <c r="D8">
        <f t="shared" si="2"/>
        <v>5.3796772519649743</v>
      </c>
      <c r="E8">
        <f t="shared" si="0"/>
        <v>1.2551230597647518</v>
      </c>
      <c r="F8">
        <f t="shared" si="4"/>
        <v>1.1203227480350257</v>
      </c>
      <c r="G8">
        <f t="shared" si="1"/>
        <v>0.56016137401751287</v>
      </c>
    </row>
    <row r="9" spans="1:10" x14ac:dyDescent="0.35">
      <c r="A9" s="1">
        <v>-0.5</v>
      </c>
      <c r="B9" s="1">
        <f t="shared" si="3"/>
        <v>3.5</v>
      </c>
      <c r="D9">
        <f>$B$11*A9+$B$12</f>
        <v>2.4934051912177471</v>
      </c>
      <c r="E9">
        <f t="shared" si="0"/>
        <v>1.0132331090673803</v>
      </c>
      <c r="F9">
        <f t="shared" si="4"/>
        <v>1.0065948087822529</v>
      </c>
      <c r="G9">
        <f t="shared" si="1"/>
        <v>-0.50329740439112647</v>
      </c>
    </row>
    <row r="11" spans="1:10" x14ac:dyDescent="0.35">
      <c r="A11" t="s">
        <v>3</v>
      </c>
      <c r="B11">
        <f>'6'!J11</f>
        <v>2.8862720607472268</v>
      </c>
      <c r="D11" t="s">
        <v>6</v>
      </c>
      <c r="E11">
        <f>AVERAGE(E3:E9)/2</f>
        <v>0.61185390555594077</v>
      </c>
      <c r="F11" t="s">
        <v>8</v>
      </c>
      <c r="G11">
        <f>-AVERAGE(G3:G9)</f>
        <v>-0.46623701050961575</v>
      </c>
      <c r="I11" t="s">
        <v>13</v>
      </c>
      <c r="J11">
        <f>B11-E12*G11</f>
        <v>2.9795194628491499</v>
      </c>
    </row>
    <row r="12" spans="1:10" x14ac:dyDescent="0.35">
      <c r="A12" t="s">
        <v>2</v>
      </c>
      <c r="B12">
        <f>'6'!J12</f>
        <v>3.9365412215913604</v>
      </c>
      <c r="D12" t="s">
        <v>11</v>
      </c>
      <c r="E12">
        <f>'1'!E12</f>
        <v>0.2</v>
      </c>
      <c r="F12" t="s">
        <v>7</v>
      </c>
      <c r="G12">
        <f>-AVERAGE(F3:F9)</f>
        <v>-1.1008265298774076</v>
      </c>
      <c r="I12" t="s">
        <v>12</v>
      </c>
      <c r="J12">
        <f>B12-E12*G12</f>
        <v>4.1567065275668416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35E3-FC24-461B-8CDC-D2F29B0C3DE8}">
  <dimension ref="A2:J12"/>
  <sheetViews>
    <sheetView zoomScale="160" zoomScaleNormal="160" workbookViewId="0">
      <selection activeCell="E11" sqref="E11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4.7526104201366719</v>
      </c>
      <c r="E3">
        <f>(B3-D3)^2</f>
        <v>0.71806910006094715</v>
      </c>
      <c r="F3">
        <f>B3-D3</f>
        <v>0.84738957986332775</v>
      </c>
      <c r="G3">
        <f>F3*A3</f>
        <v>0.16947791597266557</v>
      </c>
    </row>
    <row r="4" spans="1:10" x14ac:dyDescent="0.35">
      <c r="A4" s="1">
        <v>1.2</v>
      </c>
      <c r="B4" s="1">
        <f>3*A4+5</f>
        <v>8.6</v>
      </c>
      <c r="D4">
        <f>$B$11*A4+$B$12</f>
        <v>7.7321298829858218</v>
      </c>
      <c r="E4">
        <f t="shared" ref="E4:E9" si="0">(B4-D4)^2</f>
        <v>0.75319854000620268</v>
      </c>
      <c r="F4">
        <f>B4-D4</f>
        <v>0.86787011701417782</v>
      </c>
      <c r="G4">
        <f t="shared" ref="G4:G9" si="1">F4*A4</f>
        <v>1.0414441404170134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7.1362259904159915</v>
      </c>
      <c r="E5">
        <f t="shared" si="0"/>
        <v>0.74610553963283488</v>
      </c>
      <c r="F5">
        <f>B5-D5</f>
        <v>0.86377400958400852</v>
      </c>
      <c r="G5">
        <f t="shared" si="1"/>
        <v>0.86377400958400852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8.3280337755556513</v>
      </c>
      <c r="E6">
        <f t="shared" si="0"/>
        <v>0.76032509657173108</v>
      </c>
      <c r="F6">
        <f>B6-D6</f>
        <v>0.87196622444434801</v>
      </c>
      <c r="G6">
        <f t="shared" si="1"/>
        <v>1.2207527142220871</v>
      </c>
    </row>
    <row r="7" spans="1:10" x14ac:dyDescent="0.35">
      <c r="A7" s="1">
        <v>-1.5</v>
      </c>
      <c r="B7" s="1">
        <f t="shared" si="3"/>
        <v>0.5</v>
      </c>
      <c r="D7">
        <f t="shared" si="2"/>
        <v>-0.31257266670688288</v>
      </c>
      <c r="E7">
        <f t="shared" si="0"/>
        <v>0.66027433867913499</v>
      </c>
      <c r="F7">
        <f t="shared" ref="F7:F9" si="4">B7-D7</f>
        <v>0.81257266670688288</v>
      </c>
      <c r="G7">
        <f t="shared" si="1"/>
        <v>-1.2188590000603243</v>
      </c>
    </row>
    <row r="8" spans="1:10" x14ac:dyDescent="0.35">
      <c r="A8" s="1">
        <v>0.5</v>
      </c>
      <c r="B8" s="1">
        <f t="shared" si="3"/>
        <v>6.5</v>
      </c>
      <c r="D8">
        <f t="shared" si="2"/>
        <v>5.646466258991417</v>
      </c>
      <c r="E8">
        <f t="shared" si="0"/>
        <v>0.72851984704010686</v>
      </c>
      <c r="F8">
        <f t="shared" si="4"/>
        <v>0.85353374100858304</v>
      </c>
      <c r="G8">
        <f t="shared" si="1"/>
        <v>0.42676687050429152</v>
      </c>
    </row>
    <row r="9" spans="1:10" x14ac:dyDescent="0.35">
      <c r="A9" s="1">
        <v>-0.5</v>
      </c>
      <c r="B9" s="1">
        <f t="shared" si="3"/>
        <v>3.5</v>
      </c>
      <c r="D9">
        <f>$B$11*A9+$B$12</f>
        <v>2.6669467961422666</v>
      </c>
      <c r="E9">
        <f t="shared" si="0"/>
        <v>0.69397764045763433</v>
      </c>
      <c r="F9">
        <f t="shared" si="4"/>
        <v>0.8330532038577334</v>
      </c>
      <c r="G9">
        <f t="shared" si="1"/>
        <v>-0.4165266019288667</v>
      </c>
    </row>
    <row r="11" spans="1:10" x14ac:dyDescent="0.35">
      <c r="A11" t="s">
        <v>3</v>
      </c>
      <c r="B11">
        <f>'7'!J11</f>
        <v>2.9795194628491499</v>
      </c>
      <c r="D11" t="s">
        <v>6</v>
      </c>
      <c r="E11">
        <f>AVERAGE(E3:E9)/2</f>
        <v>0.36146215017489947</v>
      </c>
      <c r="F11" t="s">
        <v>8</v>
      </c>
      <c r="G11">
        <f>-AVERAGE(G3:G9)</f>
        <v>-0.2981185783872678</v>
      </c>
      <c r="I11" t="s">
        <v>13</v>
      </c>
      <c r="J11">
        <f>B11-E12*G11</f>
        <v>3.0391431785266034</v>
      </c>
    </row>
    <row r="12" spans="1:10" x14ac:dyDescent="0.35">
      <c r="A12" t="s">
        <v>2</v>
      </c>
      <c r="B12">
        <f>'7'!J12</f>
        <v>4.1567065275668416</v>
      </c>
      <c r="D12" t="s">
        <v>11</v>
      </c>
      <c r="E12">
        <f>'1'!E12</f>
        <v>0.2</v>
      </c>
      <c r="F12" t="s">
        <v>7</v>
      </c>
      <c r="G12">
        <f>-AVERAGE(F3:F9)</f>
        <v>-0.85002279178272311</v>
      </c>
      <c r="I12" t="s">
        <v>12</v>
      </c>
      <c r="J12">
        <f>B12-E12*G12</f>
        <v>4.3267110859233862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F07A-E324-4FA7-961F-425D5B82F6EA}">
  <dimension ref="A2:J12"/>
  <sheetViews>
    <sheetView zoomScale="160" zoomScaleNormal="160" workbookViewId="0">
      <selection activeCell="B13" sqref="B13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4.934539721628707</v>
      </c>
      <c r="E3">
        <f>(B3-D3)^2</f>
        <v>0.44283738208999829</v>
      </c>
      <c r="F3">
        <f>B3-D3</f>
        <v>0.66546027837129262</v>
      </c>
      <c r="G3">
        <f>F3*A3</f>
        <v>0.13309205567425852</v>
      </c>
    </row>
    <row r="4" spans="1:10" x14ac:dyDescent="0.35">
      <c r="A4" s="1">
        <v>1.2</v>
      </c>
      <c r="B4" s="1">
        <f>3*A4+5</f>
        <v>8.6</v>
      </c>
      <c r="D4">
        <f>$B$11*A4+$B$12</f>
        <v>7.9736829001553104</v>
      </c>
      <c r="E4">
        <f t="shared" ref="E4:E9" si="0">(B4-D4)^2</f>
        <v>0.39227310955786238</v>
      </c>
      <c r="F4">
        <f>B4-D4</f>
        <v>0.6263170998446892</v>
      </c>
      <c r="G4">
        <f t="shared" ref="G4:G9" si="1">F4*A4</f>
        <v>0.75158051981362706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7.3658542644499896</v>
      </c>
      <c r="E5">
        <f t="shared" si="0"/>
        <v>0.40214081391626372</v>
      </c>
      <c r="F5">
        <f>B5-D5</f>
        <v>0.63414573555001041</v>
      </c>
      <c r="G5">
        <f t="shared" si="1"/>
        <v>0.63414573555001041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8.5815115358606313</v>
      </c>
      <c r="E6">
        <f t="shared" si="0"/>
        <v>0.38252798027347429</v>
      </c>
      <c r="F6">
        <f>B6-D6</f>
        <v>0.61848846413936798</v>
      </c>
      <c r="G6">
        <f t="shared" si="1"/>
        <v>0.86588384979511512</v>
      </c>
    </row>
    <row r="7" spans="1:10" x14ac:dyDescent="0.35">
      <c r="A7" s="1">
        <v>-1.5</v>
      </c>
      <c r="B7" s="1">
        <f t="shared" si="3"/>
        <v>0.5</v>
      </c>
      <c r="D7">
        <f t="shared" si="2"/>
        <v>-0.23200368186651854</v>
      </c>
      <c r="E7">
        <f t="shared" si="0"/>
        <v>0.53582939026613929</v>
      </c>
      <c r="F7">
        <f t="shared" ref="F7:F9" si="4">B7-D7</f>
        <v>0.73200368186651854</v>
      </c>
      <c r="G7">
        <f t="shared" si="1"/>
        <v>-1.0980055227997778</v>
      </c>
    </row>
    <row r="8" spans="1:10" x14ac:dyDescent="0.35">
      <c r="A8" s="1">
        <v>0.5</v>
      </c>
      <c r="B8" s="1">
        <f t="shared" si="3"/>
        <v>6.5</v>
      </c>
      <c r="D8">
        <f t="shared" si="2"/>
        <v>5.8462826751866874</v>
      </c>
      <c r="E8">
        <f t="shared" si="0"/>
        <v>0.42734634076107403</v>
      </c>
      <c r="F8">
        <f t="shared" si="4"/>
        <v>0.65371732481331257</v>
      </c>
      <c r="G8">
        <f t="shared" si="1"/>
        <v>0.32685866240665629</v>
      </c>
    </row>
    <row r="9" spans="1:10" x14ac:dyDescent="0.35">
      <c r="A9" s="1">
        <v>-0.5</v>
      </c>
      <c r="B9" s="1">
        <f t="shared" si="3"/>
        <v>3.5</v>
      </c>
      <c r="D9">
        <f>$B$11*A9+$B$12</f>
        <v>2.8071394966600844</v>
      </c>
      <c r="E9">
        <f t="shared" si="0"/>
        <v>0.48005567708844116</v>
      </c>
      <c r="F9">
        <f t="shared" si="4"/>
        <v>0.69286050333991556</v>
      </c>
      <c r="G9">
        <f t="shared" si="1"/>
        <v>-0.34643025166995778</v>
      </c>
    </row>
    <row r="11" spans="1:10" x14ac:dyDescent="0.35">
      <c r="A11" t="s">
        <v>3</v>
      </c>
      <c r="B11">
        <f>'8'!J11</f>
        <v>3.0391431785266034</v>
      </c>
      <c r="D11" t="s">
        <v>6</v>
      </c>
      <c r="E11">
        <f>AVERAGE(E3:E9)/2</f>
        <v>0.21878647813951807</v>
      </c>
      <c r="F11" t="s">
        <v>8</v>
      </c>
      <c r="G11">
        <f>-AVERAGE(G3:G9)</f>
        <v>-0.18101786410999021</v>
      </c>
      <c r="I11" t="s">
        <v>13</v>
      </c>
      <c r="J11">
        <f>B11-E12*G11</f>
        <v>3.0753467513486017</v>
      </c>
    </row>
    <row r="12" spans="1:10" x14ac:dyDescent="0.35">
      <c r="A12" t="s">
        <v>2</v>
      </c>
      <c r="B12">
        <f>'8'!J12</f>
        <v>4.3267110859233862</v>
      </c>
      <c r="D12" t="s">
        <v>11</v>
      </c>
      <c r="E12">
        <f>'1'!E12</f>
        <v>0.2</v>
      </c>
      <c r="F12" t="s">
        <v>7</v>
      </c>
      <c r="G12">
        <f>-AVERAGE(F3:F9)</f>
        <v>-0.6604275839893009</v>
      </c>
      <c r="I12" t="s">
        <v>12</v>
      </c>
      <c r="J12">
        <f>B12-E12*G12</f>
        <v>4.4587966027212467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4BF2-DC54-4E91-B10B-DC5835FF568F}">
  <dimension ref="A2:J12"/>
  <sheetViews>
    <sheetView zoomScale="160" zoomScaleNormal="160" workbookViewId="0">
      <selection activeCell="J12" sqref="J12"/>
    </sheetView>
  </sheetViews>
  <sheetFormatPr defaultRowHeight="14.5" x14ac:dyDescent="0.35"/>
  <sheetData>
    <row r="2" spans="1:10" x14ac:dyDescent="0.35">
      <c r="A2" s="1" t="s">
        <v>0</v>
      </c>
      <c r="B2" s="1" t="s">
        <v>1</v>
      </c>
      <c r="D2" t="s">
        <v>4</v>
      </c>
      <c r="E2" t="s">
        <v>9</v>
      </c>
      <c r="F2" t="s">
        <v>5</v>
      </c>
      <c r="G2" t="s">
        <v>10</v>
      </c>
    </row>
    <row r="3" spans="1:10" x14ac:dyDescent="0.35">
      <c r="A3" s="1">
        <v>0.2</v>
      </c>
      <c r="B3" s="1">
        <f>3*A3+5</f>
        <v>5.6</v>
      </c>
      <c r="D3">
        <f>$B$11*A3+$B$12</f>
        <v>5.0738659529909675</v>
      </c>
      <c r="E3">
        <f>(B3-D3)^2</f>
        <v>0.2768170354221024</v>
      </c>
      <c r="F3">
        <f>B3-D3</f>
        <v>0.5261340470090321</v>
      </c>
      <c r="G3">
        <f>F3*A3</f>
        <v>0.10522680940180643</v>
      </c>
    </row>
    <row r="4" spans="1:10" x14ac:dyDescent="0.35">
      <c r="A4" s="1">
        <v>1.2</v>
      </c>
      <c r="B4" s="1">
        <f>3*A4+5</f>
        <v>8.6</v>
      </c>
      <c r="D4">
        <f>$B$11*A4+$B$12</f>
        <v>8.1492127043395683</v>
      </c>
      <c r="E4">
        <f t="shared" ref="E4:E9" si="0">(B4-D4)^2</f>
        <v>0.2032091859288451</v>
      </c>
      <c r="F4">
        <f>B4-D4</f>
        <v>0.4507872956604313</v>
      </c>
      <c r="G4">
        <f t="shared" ref="G4:G9" si="1">F4*A4</f>
        <v>0.54094475479251758</v>
      </c>
    </row>
    <row r="5" spans="1:10" x14ac:dyDescent="0.35">
      <c r="A5" s="1">
        <v>1</v>
      </c>
      <c r="B5" s="1">
        <f>3*A5+5</f>
        <v>8</v>
      </c>
      <c r="D5">
        <f t="shared" ref="D5:D8" si="2">$B$11*A5+$B$12</f>
        <v>7.5341433540698484</v>
      </c>
      <c r="E5">
        <f t="shared" si="0"/>
        <v>0.21702241455729065</v>
      </c>
      <c r="F5">
        <f>B5-D5</f>
        <v>0.46585664593015164</v>
      </c>
      <c r="G5">
        <f t="shared" si="1"/>
        <v>0.46585664593015164</v>
      </c>
    </row>
    <row r="6" spans="1:10" x14ac:dyDescent="0.35">
      <c r="A6" s="1">
        <v>1.4</v>
      </c>
      <c r="B6" s="1">
        <f t="shared" ref="B6:B9" si="3">3*A6+5</f>
        <v>9.1999999999999993</v>
      </c>
      <c r="D6">
        <f t="shared" si="2"/>
        <v>8.7642820546092892</v>
      </c>
      <c r="E6">
        <f t="shared" si="0"/>
        <v>0.18985012793550179</v>
      </c>
      <c r="F6">
        <f>B6-D6</f>
        <v>0.43571794539071007</v>
      </c>
      <c r="G6">
        <f t="shared" si="1"/>
        <v>0.6100051235469941</v>
      </c>
    </row>
    <row r="7" spans="1:10" x14ac:dyDescent="0.35">
      <c r="A7" s="1">
        <v>-1.5</v>
      </c>
      <c r="B7" s="1">
        <f t="shared" si="3"/>
        <v>0.5</v>
      </c>
      <c r="D7">
        <f t="shared" si="2"/>
        <v>-0.15422352430165631</v>
      </c>
      <c r="E7">
        <f t="shared" si="0"/>
        <v>0.4280084197496799</v>
      </c>
      <c r="F7">
        <f t="shared" ref="F7:F9" si="4">B7-D7</f>
        <v>0.65422352430165631</v>
      </c>
      <c r="G7">
        <f t="shared" si="1"/>
        <v>-0.98133528645248447</v>
      </c>
    </row>
    <row r="8" spans="1:10" x14ac:dyDescent="0.35">
      <c r="A8" s="1">
        <v>0.5</v>
      </c>
      <c r="B8" s="1">
        <f t="shared" si="3"/>
        <v>6.5</v>
      </c>
      <c r="D8">
        <f t="shared" si="2"/>
        <v>5.9964699783955471</v>
      </c>
      <c r="E8">
        <f t="shared" si="0"/>
        <v>0.25354248265698082</v>
      </c>
      <c r="F8">
        <f t="shared" si="4"/>
        <v>0.50353002160445293</v>
      </c>
      <c r="G8">
        <f t="shared" si="1"/>
        <v>0.25176501080222646</v>
      </c>
    </row>
    <row r="9" spans="1:10" x14ac:dyDescent="0.35">
      <c r="A9" s="1">
        <v>-0.5</v>
      </c>
      <c r="B9" s="1">
        <f t="shared" si="3"/>
        <v>3.5</v>
      </c>
      <c r="D9">
        <f>$B$11*A9+$B$12</f>
        <v>2.9211232270469458</v>
      </c>
      <c r="E9">
        <f t="shared" si="0"/>
        <v>0.33509831826454184</v>
      </c>
      <c r="F9">
        <f t="shared" si="4"/>
        <v>0.57887677295305418</v>
      </c>
      <c r="G9">
        <f t="shared" si="1"/>
        <v>-0.28943838647652709</v>
      </c>
    </row>
    <row r="11" spans="1:10" x14ac:dyDescent="0.35">
      <c r="A11" t="s">
        <v>3</v>
      </c>
      <c r="B11">
        <f>'9'!J11</f>
        <v>3.0753467513486017</v>
      </c>
      <c r="D11" t="s">
        <v>6</v>
      </c>
      <c r="E11">
        <f>AVERAGE(E3:E9)/2</f>
        <v>0.13596771317963877</v>
      </c>
      <c r="F11" t="s">
        <v>8</v>
      </c>
      <c r="G11">
        <f>-AVERAGE(G3:G9)</f>
        <v>-0.10043209593495495</v>
      </c>
      <c r="I11" t="s">
        <v>13</v>
      </c>
      <c r="J11">
        <f>B11-E12*G11</f>
        <v>3.0954331705355926</v>
      </c>
    </row>
    <row r="12" spans="1:10" x14ac:dyDescent="0.35">
      <c r="A12" t="s">
        <v>2</v>
      </c>
      <c r="B12">
        <f>'9'!J12</f>
        <v>4.4587966027212467</v>
      </c>
      <c r="D12" t="s">
        <v>11</v>
      </c>
      <c r="E12">
        <f>'1'!E12</f>
        <v>0.2</v>
      </c>
      <c r="F12" t="s">
        <v>7</v>
      </c>
      <c r="G12">
        <f>-AVERAGE(F3:F9)</f>
        <v>-0.51644660754992688</v>
      </c>
      <c r="I12" t="s">
        <v>12</v>
      </c>
      <c r="J12">
        <f>B12-E12*G12</f>
        <v>4.5620859242312317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Sane</dc:creator>
  <cp:lastModifiedBy>Sanjay Sane</cp:lastModifiedBy>
  <dcterms:created xsi:type="dcterms:W3CDTF">2024-01-15T06:10:31Z</dcterms:created>
  <dcterms:modified xsi:type="dcterms:W3CDTF">2026-03-27T04:48:58Z</dcterms:modified>
</cp:coreProperties>
</file>